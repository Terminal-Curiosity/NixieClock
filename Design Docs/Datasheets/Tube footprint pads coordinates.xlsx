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Documents\Projects\Nixie Clock\Datasheets\"/>
    </mc:Choice>
  </mc:AlternateContent>
  <xr:revisionPtr revIDLastSave="0" documentId="13_ncr:1_{DE55F9AF-D650-4DE5-B60F-8DFE0E6C6CA3}" xr6:coauthVersionLast="47" xr6:coauthVersionMax="47" xr10:uidLastSave="{00000000-0000-0000-0000-000000000000}"/>
  <bookViews>
    <workbookView xWindow="-16200" yWindow="-3135" windowWidth="16200" windowHeight="19710" xr2:uid="{2BC8A57D-5A1F-4CCD-BB95-D32EC9FE1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5" i="1"/>
  <c r="H6" i="1"/>
  <c r="H7" i="1"/>
  <c r="H8" i="1"/>
  <c r="H9" i="1"/>
  <c r="H10" i="1"/>
  <c r="H11" i="1"/>
  <c r="H12" i="1"/>
  <c r="H13" i="1"/>
  <c r="H14" i="1"/>
  <c r="H15" i="1"/>
  <c r="H16" i="1"/>
  <c r="H17" i="1"/>
  <c r="H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7" i="1"/>
  <c r="E8" i="1"/>
  <c r="E9" i="1"/>
  <c r="E10" i="1"/>
  <c r="E11" i="1"/>
  <c r="E12" i="1"/>
  <c r="E13" i="1"/>
  <c r="E14" i="1"/>
  <c r="E15" i="1"/>
  <c r="E16" i="1"/>
  <c r="E17" i="1"/>
  <c r="E5" i="1"/>
  <c r="E6" i="1"/>
  <c r="D6" i="1"/>
  <c r="D7" i="1"/>
  <c r="D8" i="1"/>
  <c r="D9" i="1"/>
  <c r="D10" i="1"/>
  <c r="D11" i="1"/>
  <c r="D12" i="1"/>
  <c r="D13" i="1"/>
  <c r="D14" i="1"/>
  <c r="D15" i="1"/>
  <c r="D16" i="1"/>
  <c r="D17" i="1"/>
  <c r="D5" i="1"/>
</calcChain>
</file>

<file path=xl/sharedStrings.xml><?xml version="1.0" encoding="utf-8"?>
<sst xmlns="http://schemas.openxmlformats.org/spreadsheetml/2006/main" count="7" uniqueCount="7">
  <si>
    <t>Pin distance from centre [mm]</t>
  </si>
  <si>
    <t>Pin</t>
  </si>
  <si>
    <t>y co-ordinate</t>
  </si>
  <si>
    <t>X co-ordinate</t>
  </si>
  <si>
    <t>r co-ordinate</t>
  </si>
  <si>
    <t>Θ co-ordinate (°)</t>
  </si>
  <si>
    <t>Θ co-ordinate (rads)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</si>
</sst>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DB6C-A11A-4693-A791-7ABAEA75E7FA}">
  <dimension ref="B2:H17"/>
  <sheetViews>
    <sheetView tabSelected="1" zoomScale="115" zoomScaleNormal="115" workbookViewId="0">
      <selection activeCell="J14" sqref="J14"/>
    </sheetView>
  </sheetViews>
  <sheetFormatPr defaultRowHeight="15" x14ac:dyDescent="0.25"/>
  <cols>
    <col min="2" max="2" width="28.42578125" bestFit="1" customWidth="1"/>
    <col min="3" max="3" width="8.7109375" customWidth="1"/>
    <col min="4" max="4" width="12.42578125" bestFit="1" customWidth="1"/>
    <col min="5" max="5" width="15.85546875" bestFit="1" customWidth="1"/>
    <col min="6" max="6" width="19" bestFit="1" customWidth="1"/>
    <col min="7" max="7" width="12.85546875" bestFit="1" customWidth="1"/>
    <col min="8" max="8" width="12.7109375" bestFit="1" customWidth="1"/>
  </cols>
  <sheetData>
    <row r="2" spans="2:8" x14ac:dyDescent="0.25">
      <c r="B2" t="s">
        <v>0</v>
      </c>
      <c r="C2">
        <v>4</v>
      </c>
    </row>
    <row r="3" spans="2:8" ht="15.75" thickBot="1" x14ac:dyDescent="0.3"/>
    <row r="4" spans="2:8" ht="15.75" thickBot="1" x14ac:dyDescent="0.3">
      <c r="C4" s="1" t="s">
        <v>1</v>
      </c>
      <c r="D4" s="1" t="s">
        <v>4</v>
      </c>
      <c r="E4" s="4" t="s">
        <v>5</v>
      </c>
      <c r="F4" s="4" t="s">
        <v>6</v>
      </c>
      <c r="G4" s="4" t="s">
        <v>3</v>
      </c>
      <c r="H4" s="5" t="s">
        <v>2</v>
      </c>
    </row>
    <row r="5" spans="2:8" x14ac:dyDescent="0.25">
      <c r="C5" s="2">
        <v>1</v>
      </c>
      <c r="D5" s="6">
        <f t="shared" ref="D5:D17" si="0">$C$2</f>
        <v>4</v>
      </c>
      <c r="E5" s="11">
        <f>360/13*(C5-1)</f>
        <v>0</v>
      </c>
      <c r="F5" s="11">
        <f>RADIANS(E5)</f>
        <v>0</v>
      </c>
      <c r="G5" s="7">
        <f>-D5*SIN(F5)</f>
        <v>0</v>
      </c>
      <c r="H5" s="8">
        <f>-D5*COS(F5)</f>
        <v>-4</v>
      </c>
    </row>
    <row r="6" spans="2:8" x14ac:dyDescent="0.25">
      <c r="C6" s="2">
        <v>2</v>
      </c>
      <c r="D6" s="2">
        <f t="shared" si="0"/>
        <v>4</v>
      </c>
      <c r="E6" s="10">
        <f>360/13*(C6-1)</f>
        <v>27.692307692307693</v>
      </c>
      <c r="F6" s="10">
        <f t="shared" ref="F6:F17" si="1">RADIANS(E6)</f>
        <v>0.48332194670612205</v>
      </c>
      <c r="G6" s="9">
        <f t="shared" ref="G6:G17" si="2">-D6*SIN(F6)</f>
        <v>-1.8588926881750742</v>
      </c>
      <c r="H6" s="13">
        <f t="shared" ref="H6:H17" si="3">-D6*COS(F6)</f>
        <v>-3.5418241026128396</v>
      </c>
    </row>
    <row r="7" spans="2:8" x14ac:dyDescent="0.25">
      <c r="C7" s="2">
        <v>3</v>
      </c>
      <c r="D7" s="2">
        <f t="shared" si="0"/>
        <v>4</v>
      </c>
      <c r="E7" s="10">
        <f t="shared" ref="E7:E17" si="4">360/13*(C7-1)</f>
        <v>55.384615384615387</v>
      </c>
      <c r="F7" s="10">
        <f t="shared" si="1"/>
        <v>0.9666438934122441</v>
      </c>
      <c r="G7" s="9">
        <f t="shared" si="2"/>
        <v>-3.2919354635746259</v>
      </c>
      <c r="H7" s="13">
        <f t="shared" si="3"/>
        <v>-2.2722589869246232</v>
      </c>
    </row>
    <row r="8" spans="2:8" x14ac:dyDescent="0.25">
      <c r="C8" s="2">
        <v>4</v>
      </c>
      <c r="D8" s="2">
        <f t="shared" si="0"/>
        <v>4</v>
      </c>
      <c r="E8" s="10">
        <f t="shared" si="4"/>
        <v>83.07692307692308</v>
      </c>
      <c r="F8" s="10">
        <f t="shared" si="1"/>
        <v>1.4499658401183662</v>
      </c>
      <c r="G8" s="9">
        <f t="shared" si="2"/>
        <v>-3.9708354963922159</v>
      </c>
      <c r="H8" s="13">
        <f t="shared" si="3"/>
        <v>-0.48214672102129202</v>
      </c>
    </row>
    <row r="9" spans="2:8" x14ac:dyDescent="0.25">
      <c r="C9" s="2">
        <v>5</v>
      </c>
      <c r="D9" s="2">
        <f t="shared" si="0"/>
        <v>4</v>
      </c>
      <c r="E9" s="10">
        <f t="shared" si="4"/>
        <v>110.76923076923077</v>
      </c>
      <c r="F9" s="10">
        <f t="shared" si="1"/>
        <v>1.9332877868244882</v>
      </c>
      <c r="G9" s="9">
        <f t="shared" si="2"/>
        <v>-3.7400649707416593</v>
      </c>
      <c r="H9" s="13">
        <f t="shared" si="3"/>
        <v>1.4184195481701427</v>
      </c>
    </row>
    <row r="10" spans="2:8" x14ac:dyDescent="0.25">
      <c r="C10" s="2">
        <v>6</v>
      </c>
      <c r="D10" s="2">
        <f t="shared" si="0"/>
        <v>4</v>
      </c>
      <c r="E10" s="10">
        <f t="shared" si="4"/>
        <v>138.46153846153845</v>
      </c>
      <c r="F10" s="10">
        <f t="shared" si="1"/>
        <v>2.4166097335306098</v>
      </c>
      <c r="G10" s="9">
        <f t="shared" si="2"/>
        <v>-2.6524906329631821</v>
      </c>
      <c r="H10" s="13">
        <f t="shared" si="3"/>
        <v>2.9940429926844034</v>
      </c>
    </row>
    <row r="11" spans="2:8" x14ac:dyDescent="0.25">
      <c r="C11" s="2">
        <v>7</v>
      </c>
      <c r="D11" s="2">
        <f t="shared" si="0"/>
        <v>4</v>
      </c>
      <c r="E11" s="10">
        <f t="shared" si="4"/>
        <v>166.15384615384616</v>
      </c>
      <c r="F11" s="10">
        <f t="shared" si="1"/>
        <v>2.8999316802367323</v>
      </c>
      <c r="G11" s="9">
        <f t="shared" si="2"/>
        <v>-0.95726265715023073</v>
      </c>
      <c r="H11" s="13">
        <f t="shared" si="3"/>
        <v>3.883767269704208</v>
      </c>
    </row>
    <row r="12" spans="2:8" x14ac:dyDescent="0.25">
      <c r="C12" s="2">
        <v>8</v>
      </c>
      <c r="D12" s="2">
        <f t="shared" si="0"/>
        <v>4</v>
      </c>
      <c r="E12" s="10">
        <f t="shared" si="4"/>
        <v>193.84615384615387</v>
      </c>
      <c r="F12" s="10">
        <f t="shared" si="1"/>
        <v>3.3832536269428544</v>
      </c>
      <c r="G12" s="9">
        <f t="shared" si="2"/>
        <v>0.95726265715023151</v>
      </c>
      <c r="H12" s="13">
        <f t="shared" si="3"/>
        <v>3.883767269704208</v>
      </c>
    </row>
    <row r="13" spans="2:8" x14ac:dyDescent="0.25">
      <c r="C13" s="2">
        <v>9</v>
      </c>
      <c r="D13" s="2">
        <f t="shared" si="0"/>
        <v>4</v>
      </c>
      <c r="E13" s="10">
        <f t="shared" si="4"/>
        <v>221.53846153846155</v>
      </c>
      <c r="F13" s="10">
        <f t="shared" si="1"/>
        <v>3.8665755736489764</v>
      </c>
      <c r="G13" s="9">
        <f t="shared" si="2"/>
        <v>2.6524906329631812</v>
      </c>
      <c r="H13" s="13">
        <f t="shared" si="3"/>
        <v>2.9940429926844039</v>
      </c>
    </row>
    <row r="14" spans="2:8" x14ac:dyDescent="0.25">
      <c r="C14" s="2">
        <v>10</v>
      </c>
      <c r="D14" s="2">
        <f t="shared" si="0"/>
        <v>4</v>
      </c>
      <c r="E14" s="10">
        <f t="shared" si="4"/>
        <v>249.23076923076923</v>
      </c>
      <c r="F14" s="10">
        <f t="shared" si="1"/>
        <v>4.349897520355098</v>
      </c>
      <c r="G14" s="9">
        <f t="shared" si="2"/>
        <v>3.7400649707416589</v>
      </c>
      <c r="H14" s="13">
        <f t="shared" si="3"/>
        <v>1.4184195481701436</v>
      </c>
    </row>
    <row r="15" spans="2:8" x14ac:dyDescent="0.25">
      <c r="C15" s="2">
        <v>11</v>
      </c>
      <c r="D15" s="2">
        <f t="shared" si="0"/>
        <v>4</v>
      </c>
      <c r="E15" s="10">
        <f t="shared" si="4"/>
        <v>276.92307692307691</v>
      </c>
      <c r="F15" s="10">
        <f t="shared" si="1"/>
        <v>4.8332194670612196</v>
      </c>
      <c r="G15" s="9">
        <f t="shared" si="2"/>
        <v>3.9708354963922163</v>
      </c>
      <c r="H15" s="13">
        <f t="shared" si="3"/>
        <v>-0.4821467210212893</v>
      </c>
    </row>
    <row r="16" spans="2:8" x14ac:dyDescent="0.25">
      <c r="C16" s="2">
        <v>12</v>
      </c>
      <c r="D16" s="2">
        <f t="shared" si="0"/>
        <v>4</v>
      </c>
      <c r="E16" s="10">
        <f t="shared" si="4"/>
        <v>304.61538461538464</v>
      </c>
      <c r="F16" s="10">
        <f t="shared" si="1"/>
        <v>5.316541413767343</v>
      </c>
      <c r="G16" s="9">
        <f t="shared" si="2"/>
        <v>3.2919354635746241</v>
      </c>
      <c r="H16" s="13">
        <f t="shared" si="3"/>
        <v>-2.272258986924625</v>
      </c>
    </row>
    <row r="17" spans="3:8" ht="15.75" thickBot="1" x14ac:dyDescent="0.3">
      <c r="C17" s="3">
        <v>13</v>
      </c>
      <c r="D17" s="3">
        <f t="shared" si="0"/>
        <v>4</v>
      </c>
      <c r="E17" s="12">
        <f t="shared" si="4"/>
        <v>332.30769230769232</v>
      </c>
      <c r="F17" s="12">
        <f t="shared" si="1"/>
        <v>5.7998633604734646</v>
      </c>
      <c r="G17" s="14">
        <f t="shared" si="2"/>
        <v>1.8588926881750736</v>
      </c>
      <c r="H17" s="15">
        <f t="shared" si="3"/>
        <v>-3.5418241026128401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Paix</dc:creator>
  <cp:lastModifiedBy>no name</cp:lastModifiedBy>
  <dcterms:created xsi:type="dcterms:W3CDTF">2023-11-26T22:12:50Z</dcterms:created>
  <dcterms:modified xsi:type="dcterms:W3CDTF">2023-11-27T21:24:45Z</dcterms:modified>
</cp:coreProperties>
</file>