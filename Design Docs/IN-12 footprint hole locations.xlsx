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Documents\Projects\Nixie Clock\Design Docs\"/>
    </mc:Choice>
  </mc:AlternateContent>
  <xr:revisionPtr revIDLastSave="0" documentId="13_ncr:1_{23FEA870-1368-4750-A77B-5234AF097969}" xr6:coauthVersionLast="47" xr6:coauthVersionMax="47" xr10:uidLastSave="{00000000-0000-0000-0000-000000000000}"/>
  <bookViews>
    <workbookView xWindow="-16305" yWindow="6510" windowWidth="16410" windowHeight="10170" xr2:uid="{8159B61A-7E89-4B6E-8750-74BDC3D6F3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I19" i="1"/>
  <c r="I8" i="1"/>
  <c r="H9" i="1"/>
  <c r="H10" i="1"/>
  <c r="H11" i="1"/>
  <c r="H12" i="1"/>
  <c r="H13" i="1"/>
  <c r="H14" i="1"/>
  <c r="H15" i="1"/>
  <c r="H16" i="1"/>
  <c r="H17" i="1"/>
  <c r="H18" i="1"/>
  <c r="H19" i="1"/>
  <c r="H8" i="1"/>
</calcChain>
</file>

<file path=xl/sharedStrings.xml><?xml version="1.0" encoding="utf-8"?>
<sst xmlns="http://schemas.openxmlformats.org/spreadsheetml/2006/main" count="8" uniqueCount="8">
  <si>
    <t>15 degrees apart</t>
  </si>
  <si>
    <t>12 points on an oval</t>
  </si>
  <si>
    <t>minor radius 7mm</t>
  </si>
  <si>
    <t>major radius 9.5mm</t>
  </si>
  <si>
    <t>point</t>
  </si>
  <si>
    <t>angle</t>
  </si>
  <si>
    <t>x coordinate</t>
  </si>
  <si>
    <t>y 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</si>
</sst>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3"/>
          <c:tx>
            <c:v>oval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4.6192789512802673E-3"/>
                  <c:y val="-2.146481045539410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1B-42C6-80D6-5318FE7C17F4}"/>
                </c:ext>
              </c:extLst>
            </c:dLbl>
            <c:dLbl>
              <c:idx val="10"/>
              <c:layout>
                <c:manualLayout>
                  <c:x val="2.2051983584131327E-2"/>
                  <c:y val="4.3083854208944275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1B-42C6-80D6-5318FE7C17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Sheet1!$H$8:$H$19</c:f>
              <c:numCache>
                <c:formatCode>0.00</c:formatCode>
                <c:ptCount val="12"/>
                <c:pt idx="0">
                  <c:v>7</c:v>
                </c:pt>
                <c:pt idx="1">
                  <c:v>6.0621778264910713</c:v>
                </c:pt>
                <c:pt idx="2">
                  <c:v>3.5000000000000009</c:v>
                </c:pt>
                <c:pt idx="3">
                  <c:v>4.28801959218017E-16</c:v>
                </c:pt>
                <c:pt idx="4">
                  <c:v>-3.4999999999999982</c:v>
                </c:pt>
                <c:pt idx="5">
                  <c:v>-6.0621778264910713</c:v>
                </c:pt>
                <c:pt idx="6">
                  <c:v>-7</c:v>
                </c:pt>
                <c:pt idx="7">
                  <c:v>-6.0621778264910704</c:v>
                </c:pt>
                <c:pt idx="8">
                  <c:v>-3.5000000000000031</c:v>
                </c:pt>
                <c:pt idx="9">
                  <c:v>-1.286405877654051E-15</c:v>
                </c:pt>
                <c:pt idx="10">
                  <c:v>3.5000000000000009</c:v>
                </c:pt>
                <c:pt idx="11">
                  <c:v>6.0621778264910686</c:v>
                </c:pt>
              </c:numCache>
            </c:numRef>
          </c:xVal>
          <c:yVal>
            <c:numRef>
              <c:f>Sheet1!$I$8:$I$19</c:f>
              <c:numCache>
                <c:formatCode>0.00</c:formatCode>
                <c:ptCount val="12"/>
                <c:pt idx="0">
                  <c:v>0</c:v>
                </c:pt>
                <c:pt idx="1">
                  <c:v>4.7499999999999991</c:v>
                </c:pt>
                <c:pt idx="2">
                  <c:v>8.2272413359521668</c:v>
                </c:pt>
                <c:pt idx="3">
                  <c:v>9.5</c:v>
                </c:pt>
                <c:pt idx="4">
                  <c:v>8.2272413359521686</c:v>
                </c:pt>
                <c:pt idx="5">
                  <c:v>4.7499999999999991</c:v>
                </c:pt>
                <c:pt idx="6">
                  <c:v>1.163891032163189E-15</c:v>
                </c:pt>
                <c:pt idx="7">
                  <c:v>-4.7500000000000009</c:v>
                </c:pt>
                <c:pt idx="8">
                  <c:v>-8.227241335952165</c:v>
                </c:pt>
                <c:pt idx="9">
                  <c:v>-9.5</c:v>
                </c:pt>
                <c:pt idx="10">
                  <c:v>-8.2272413359521668</c:v>
                </c:pt>
                <c:pt idx="11">
                  <c:v>-4.7500000000000044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1B-42C6-80D6-5318FE7C1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387983"/>
        <c:axId val="2743889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Sheet1!$G$7</c15:sqref>
                        </c15:formulaRef>
                      </c:ext>
                    </c:extLst>
                    <c:strCache>
                      <c:ptCount val="1"/>
                      <c:pt idx="0">
                        <c:v>angle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Sheet1!$F$8:$F$19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Sheet1!$G$8:$G$19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30</c:v>
                      </c:pt>
                      <c:pt idx="2">
                        <c:v>60</c:v>
                      </c:pt>
                      <c:pt idx="3">
                        <c:v>90</c:v>
                      </c:pt>
                      <c:pt idx="4">
                        <c:v>120</c:v>
                      </c:pt>
                      <c:pt idx="5">
                        <c:v>150</c:v>
                      </c:pt>
                      <c:pt idx="6">
                        <c:v>180</c:v>
                      </c:pt>
                      <c:pt idx="7">
                        <c:v>210</c:v>
                      </c:pt>
                      <c:pt idx="8">
                        <c:v>240</c:v>
                      </c:pt>
                      <c:pt idx="9">
                        <c:v>270</c:v>
                      </c:pt>
                      <c:pt idx="10">
                        <c:v>300</c:v>
                      </c:pt>
                      <c:pt idx="11">
                        <c:v>330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71B-42C6-80D6-5318FE7C17F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Sheet1!$H$7</c15:sqref>
                        </c15:formulaRef>
                      </c:ext>
                    </c:extLst>
                    <c:strCache>
                      <c:ptCount val="1"/>
                      <c:pt idx="0">
                        <c:v>x coordinate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Sheet1!$F$8:$F$19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Sheet1!$H$8:$H$19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7</c:v>
                      </c:pt>
                      <c:pt idx="1">
                        <c:v>6.0621778264910713</c:v>
                      </c:pt>
                      <c:pt idx="2">
                        <c:v>3.5000000000000009</c:v>
                      </c:pt>
                      <c:pt idx="3">
                        <c:v>4.28801959218017E-16</c:v>
                      </c:pt>
                      <c:pt idx="4">
                        <c:v>-3.4999999999999982</c:v>
                      </c:pt>
                      <c:pt idx="5">
                        <c:v>-6.0621778264910713</c:v>
                      </c:pt>
                      <c:pt idx="6">
                        <c:v>-7</c:v>
                      </c:pt>
                      <c:pt idx="7">
                        <c:v>-6.0621778264910704</c:v>
                      </c:pt>
                      <c:pt idx="8">
                        <c:v>-3.5000000000000031</c:v>
                      </c:pt>
                      <c:pt idx="9">
                        <c:v>-1.286405877654051E-15</c:v>
                      </c:pt>
                      <c:pt idx="10">
                        <c:v>3.5000000000000009</c:v>
                      </c:pt>
                      <c:pt idx="11">
                        <c:v>6.0621778264910686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1B-42C6-80D6-5318FE7C17F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Sheet1!$I$7</c15:sqref>
                        </c15:formulaRef>
                      </c:ext>
                    </c:extLst>
                    <c:strCache>
                      <c:ptCount val="1"/>
                      <c:pt idx="0">
                        <c:v>y coordinate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Sheet1!$F$8:$F$19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Sheet1!$I$8:$I$19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0</c:v>
                      </c:pt>
                      <c:pt idx="1">
                        <c:v>4.7499999999999991</c:v>
                      </c:pt>
                      <c:pt idx="2">
                        <c:v>8.2272413359521668</c:v>
                      </c:pt>
                      <c:pt idx="3">
                        <c:v>9.5</c:v>
                      </c:pt>
                      <c:pt idx="4">
                        <c:v>8.2272413359521686</c:v>
                      </c:pt>
                      <c:pt idx="5">
                        <c:v>4.7499999999999991</c:v>
                      </c:pt>
                      <c:pt idx="6">
                        <c:v>1.163891032163189E-15</c:v>
                      </c:pt>
                      <c:pt idx="7">
                        <c:v>-4.7500000000000009</c:v>
                      </c:pt>
                      <c:pt idx="8">
                        <c:v>-8.227241335952165</c:v>
                      </c:pt>
                      <c:pt idx="9">
                        <c:v>-9.5</c:v>
                      </c:pt>
                      <c:pt idx="10">
                        <c:v>-8.2272413359521668</c:v>
                      </c:pt>
                      <c:pt idx="11">
                        <c:v>-4.7500000000000044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71B-42C6-80D6-5318FE7C17F4}"/>
                  </c:ext>
                </c:extLst>
              </c15:ser>
            </c15:filteredScatterSeries>
          </c:ext>
        </c:extLst>
      </c:scatterChart>
      <c:valAx>
        <c:axId val="27438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388943"/>
        <c:crosses val="autoZero"/>
        <c:crossBetween val="midCat"/>
        <c:majorUnit val="1"/>
      </c:valAx>
      <c:valAx>
        <c:axId val="27438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38798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0</xdr:rowOff>
    </xdr:from>
    <xdr:to>
      <xdr:col>23</xdr:col>
      <xdr:colOff>257175</xdr:colOff>
      <xdr:row>43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2FC7FC-D6CA-BE41-FE72-9C50612A1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8796-E4F0-4062-B06E-49D03319B276}">
  <dimension ref="B2:I19"/>
  <sheetViews>
    <sheetView tabSelected="1" topLeftCell="A4" zoomScaleNormal="100" workbookViewId="0">
      <selection activeCell="J13" sqref="J13"/>
    </sheetView>
  </sheetViews>
  <sheetFormatPr defaultRowHeight="15" x14ac:dyDescent="0.25"/>
  <cols>
    <col min="8" max="8" width="13.85546875" customWidth="1"/>
    <col min="9" max="9" width="11.85546875" bestFit="1" customWidth="1"/>
  </cols>
  <sheetData>
    <row r="2" spans="2:9" x14ac:dyDescent="0.25">
      <c r="B2" t="s">
        <v>1</v>
      </c>
    </row>
    <row r="3" spans="2:9" x14ac:dyDescent="0.25">
      <c r="B3" t="s">
        <v>0</v>
      </c>
    </row>
    <row r="4" spans="2:9" x14ac:dyDescent="0.25">
      <c r="B4" t="s">
        <v>2</v>
      </c>
      <c r="D4">
        <v>7</v>
      </c>
    </row>
    <row r="5" spans="2:9" x14ac:dyDescent="0.25">
      <c r="B5" t="s">
        <v>3</v>
      </c>
      <c r="D5">
        <v>9.5</v>
      </c>
    </row>
    <row r="7" spans="2:9" x14ac:dyDescent="0.25">
      <c r="F7" t="s">
        <v>4</v>
      </c>
      <c r="G7" t="s">
        <v>5</v>
      </c>
      <c r="H7" t="s">
        <v>6</v>
      </c>
      <c r="I7" t="s">
        <v>7</v>
      </c>
    </row>
    <row r="8" spans="2:9" x14ac:dyDescent="0.25">
      <c r="F8">
        <v>1</v>
      </c>
      <c r="G8">
        <v>0</v>
      </c>
      <c r="H8" s="1">
        <f>$D$4*COS(G8*PI()/180)</f>
        <v>7</v>
      </c>
      <c r="I8" s="1">
        <f>$D$5*SIN(G8*PI()/180)</f>
        <v>0</v>
      </c>
    </row>
    <row r="9" spans="2:9" x14ac:dyDescent="0.25">
      <c r="F9">
        <v>2</v>
      </c>
      <c r="G9">
        <v>30</v>
      </c>
      <c r="H9" s="1">
        <f t="shared" ref="H9:H19" si="0">$D$4*COS(G9*PI()/180)</f>
        <v>6.0621778264910713</v>
      </c>
      <c r="I9" s="1">
        <f t="shared" ref="I9:I19" si="1">$D$5*SIN(G9*PI()/180)</f>
        <v>4.7499999999999991</v>
      </c>
    </row>
    <row r="10" spans="2:9" x14ac:dyDescent="0.25">
      <c r="F10">
        <v>3</v>
      </c>
      <c r="G10">
        <v>60</v>
      </c>
      <c r="H10" s="1">
        <f t="shared" si="0"/>
        <v>3.5000000000000009</v>
      </c>
      <c r="I10" s="1">
        <f t="shared" si="1"/>
        <v>8.2272413359521668</v>
      </c>
    </row>
    <row r="11" spans="2:9" x14ac:dyDescent="0.25">
      <c r="F11">
        <v>4</v>
      </c>
      <c r="G11">
        <v>90</v>
      </c>
      <c r="H11" s="1">
        <f t="shared" si="0"/>
        <v>4.28801959218017E-16</v>
      </c>
      <c r="I11" s="1">
        <f t="shared" si="1"/>
        <v>9.5</v>
      </c>
    </row>
    <row r="12" spans="2:9" x14ac:dyDescent="0.25">
      <c r="F12">
        <v>5</v>
      </c>
      <c r="G12">
        <v>120</v>
      </c>
      <c r="H12" s="1">
        <f t="shared" si="0"/>
        <v>-3.4999999999999982</v>
      </c>
      <c r="I12" s="1">
        <f t="shared" si="1"/>
        <v>8.2272413359521686</v>
      </c>
    </row>
    <row r="13" spans="2:9" x14ac:dyDescent="0.25">
      <c r="F13">
        <v>6</v>
      </c>
      <c r="G13">
        <v>150</v>
      </c>
      <c r="H13" s="1">
        <f t="shared" si="0"/>
        <v>-6.0621778264910713</v>
      </c>
      <c r="I13" s="1">
        <f t="shared" si="1"/>
        <v>4.7499999999999991</v>
      </c>
    </row>
    <row r="14" spans="2:9" x14ac:dyDescent="0.25">
      <c r="F14">
        <v>7</v>
      </c>
      <c r="G14">
        <v>180</v>
      </c>
      <c r="H14" s="1">
        <f t="shared" si="0"/>
        <v>-7</v>
      </c>
      <c r="I14" s="1">
        <f t="shared" si="1"/>
        <v>1.163891032163189E-15</v>
      </c>
    </row>
    <row r="15" spans="2:9" x14ac:dyDescent="0.25">
      <c r="F15">
        <v>8</v>
      </c>
      <c r="G15">
        <v>210</v>
      </c>
      <c r="H15" s="1">
        <f t="shared" si="0"/>
        <v>-6.0621778264910704</v>
      </c>
      <c r="I15" s="1">
        <f t="shared" si="1"/>
        <v>-4.7500000000000009</v>
      </c>
    </row>
    <row r="16" spans="2:9" x14ac:dyDescent="0.25">
      <c r="F16">
        <v>9</v>
      </c>
      <c r="G16">
        <v>240</v>
      </c>
      <c r="H16" s="1">
        <f t="shared" si="0"/>
        <v>-3.5000000000000031</v>
      </c>
      <c r="I16" s="1">
        <f t="shared" si="1"/>
        <v>-8.227241335952165</v>
      </c>
    </row>
    <row r="17" spans="6:9" x14ac:dyDescent="0.25">
      <c r="F17">
        <v>10</v>
      </c>
      <c r="G17">
        <v>270</v>
      </c>
      <c r="H17" s="1">
        <f t="shared" si="0"/>
        <v>-1.286405877654051E-15</v>
      </c>
      <c r="I17" s="1">
        <f t="shared" si="1"/>
        <v>-9.5</v>
      </c>
    </row>
    <row r="18" spans="6:9" x14ac:dyDescent="0.25">
      <c r="F18">
        <v>11</v>
      </c>
      <c r="G18">
        <v>300</v>
      </c>
      <c r="H18" s="1">
        <f t="shared" si="0"/>
        <v>3.5000000000000009</v>
      </c>
      <c r="I18" s="1">
        <f t="shared" si="1"/>
        <v>-8.2272413359521668</v>
      </c>
    </row>
    <row r="19" spans="6:9" x14ac:dyDescent="0.25">
      <c r="F19">
        <v>12</v>
      </c>
      <c r="G19">
        <v>330</v>
      </c>
      <c r="H19" s="1">
        <f t="shared" si="0"/>
        <v>6.0621778264910686</v>
      </c>
      <c r="I19" s="1">
        <f t="shared" si="1"/>
        <v>-4.7500000000000044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</dc:creator>
  <cp:lastModifiedBy>Lucas P</cp:lastModifiedBy>
  <dcterms:created xsi:type="dcterms:W3CDTF">2025-05-08T00:26:43Z</dcterms:created>
  <dcterms:modified xsi:type="dcterms:W3CDTF">2025-05-11T08:07:10Z</dcterms:modified>
</cp:coreProperties>
</file>